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N4" i="1" l="1"/>
  <c r="L4" i="1" l="1"/>
  <c r="I4" i="1" l="1"/>
</calcChain>
</file>

<file path=xl/sharedStrings.xml><?xml version="1.0" encoding="utf-8"?>
<sst xmlns="http://schemas.openxmlformats.org/spreadsheetml/2006/main" count="23" uniqueCount="22">
  <si>
    <t>Көрсөткүчтөрдүн аталышы</t>
  </si>
  <si>
    <t>Наименование показателей</t>
  </si>
  <si>
    <t>Items</t>
  </si>
  <si>
    <t>12.4.2 Образование опасных отходов на душу населения и доля обрабатываемых опасных отходов в разбивке по видам обработки</t>
  </si>
  <si>
    <t>12.4.2 Hazardous waste generated per capita and proportion of hazardous waste treated, by type of treatment</t>
  </si>
  <si>
    <t>12.4.2 Кайра иштетүү түрлөрү боюнча киши башына коркунучтуу калдыктардын топтолушу жана кайра иштелип чыгуучу коркунучтуу калдыктардын үлүшү</t>
  </si>
  <si>
    <t>Образование опасных отходов (1-3 классов опасности), тыс. тонн</t>
  </si>
  <si>
    <t>Численность постоянного населения,  тыс. человек</t>
  </si>
  <si>
    <t>Образование опасных отходов в расчете на 1 человека, килограмм/человек</t>
  </si>
  <si>
    <t>Коркунучтуу калдыктардын пайда болушу (1-3-класстардын коркунучу), миң тонна</t>
  </si>
  <si>
    <t>Туруктуу калктын саны, миң адам</t>
  </si>
  <si>
    <t>Коркунучтуу калдыктардын пайда болушу 1 адамга эсептегенде, килаграмм/адам</t>
  </si>
  <si>
    <t>Hazardous waste generation (1-3 hazard classes), thousand tons</t>
  </si>
  <si>
    <t>Resident population, thousand people</t>
  </si>
  <si>
    <t>Generation of hazardous waste per person, kilogram / person</t>
  </si>
  <si>
    <t>Нейтралдаштырылган кооптуу калдыктардын үлүшү, пайыз</t>
  </si>
  <si>
    <t>Доля обезвреженных опасных отходов, процентов</t>
  </si>
  <si>
    <t>Percentage of neutralized hazardous waste, percent</t>
  </si>
  <si>
    <t>Көмүлгөн коркунучтуу калдыктардын үлүшү, пайыз</t>
  </si>
  <si>
    <t>Доля захороненных опасных отходов, процентов</t>
  </si>
  <si>
    <t>The share of hazardous waste buried, percent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</si>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</sst>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Arial"/>
      <family val="2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3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 applyBorder="1" applyAlignment="1">
      <alignment horizontal="right" vertical="top" wrapText="1"/>
    </xf>
    <xf numFmtId="0" fontId="3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right"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164" fontId="11" fillId="0" borderId="0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3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164" fontId="11" fillId="0" borderId="0" xfId="0" applyNumberFormat="1" applyFont="1" applyBorder="1" applyAlignment="1">
      <alignment horizontal="right" vertical="center"/>
    </xf>
    <xf numFmtId="164" fontId="3" fillId="0" borderId="3" xfId="0" applyNumberFormat="1" applyFont="1" applyBorder="1" applyAlignment="1">
      <alignment horizontal="right" vertical="center" wrapText="1"/>
    </xf>
    <xf numFmtId="0" fontId="8" fillId="0" borderId="0" xfId="0" applyFont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right" vertical="center"/>
    </xf>
    <xf numFmtId="164" fontId="8" fillId="0" borderId="0" xfId="0" applyNumberFormat="1" applyFont="1" applyBorder="1" applyAlignment="1">
      <alignment vertical="center"/>
    </xf>
    <xf numFmtId="164" fontId="12" fillId="0" borderId="0" xfId="0" applyNumberFormat="1" applyFont="1" applyBorder="1" applyAlignment="1">
      <alignment horizontal="right" vertical="center"/>
    </xf>
    <xf numFmtId="0" fontId="13" fillId="0" borderId="0" xfId="0" applyFont="1"/>
    <xf numFmtId="0" fontId="9" fillId="0" borderId="2" xfId="2" applyFont="1" applyBorder="1" applyAlignment="1">
      <alignment horizontal="right" vertical="center"/>
    </xf>
    <xf numFmtId="164" fontId="12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/>
    </xf>
  </cellXfs>
  <cellStyles count="3">
    <cellStyle name="Обычный" xfId="0" builtinId="0"/>
    <cellStyle name="Обычный 2" xfId="1"/>
    <cellStyle name="Обычный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>
      <selection activeCell="K13" sqref="K13:K14"/>
    </sheetView>
  </sheetViews>
  <sheetFormatPr defaultRowHeight="15" x14ac:dyDescent="0.25"/>
  <cols>
    <col min="1" max="3" width="38.7109375" customWidth="1"/>
    <col min="4" max="4" width="10.140625" customWidth="1"/>
    <col min="5" max="7" width="9.85546875" customWidth="1"/>
    <col min="8" max="9" width="10.85546875" bestFit="1" customWidth="1"/>
  </cols>
  <sheetData>
    <row r="1" spans="1:14" ht="57" customHeight="1" x14ac:dyDescent="0.25">
      <c r="A1" s="10" t="s">
        <v>5</v>
      </c>
      <c r="B1" s="11" t="s">
        <v>3</v>
      </c>
      <c r="C1" s="12" t="s">
        <v>4</v>
      </c>
      <c r="D1" s="12"/>
      <c r="E1" s="1"/>
      <c r="F1" s="1"/>
      <c r="G1" s="1"/>
      <c r="H1" s="2"/>
    </row>
    <row r="2" spans="1:14" ht="15.75" thickBot="1" x14ac:dyDescent="0.3">
      <c r="A2" s="4"/>
      <c r="B2" s="5"/>
      <c r="C2" s="6"/>
      <c r="D2" s="6"/>
      <c r="E2" s="6"/>
      <c r="F2" s="6"/>
      <c r="G2" s="6"/>
      <c r="H2" s="3"/>
    </row>
    <row r="3" spans="1:14" ht="15.75" thickBot="1" x14ac:dyDescent="0.3">
      <c r="A3" s="7" t="s">
        <v>0</v>
      </c>
      <c r="B3" s="8" t="s">
        <v>1</v>
      </c>
      <c r="C3" s="8" t="s">
        <v>2</v>
      </c>
      <c r="D3" s="9">
        <v>2014</v>
      </c>
      <c r="E3" s="9">
        <v>2015</v>
      </c>
      <c r="F3" s="9">
        <v>2016</v>
      </c>
      <c r="G3" s="9">
        <v>2017</v>
      </c>
      <c r="H3" s="9">
        <v>2018</v>
      </c>
      <c r="I3" s="9">
        <v>2019</v>
      </c>
      <c r="J3" s="9">
        <v>2020</v>
      </c>
      <c r="K3" s="9">
        <v>2021</v>
      </c>
      <c r="L3" s="9">
        <v>2022</v>
      </c>
      <c r="M3" s="9">
        <v>2023</v>
      </c>
      <c r="N3" s="31">
        <v>2024</v>
      </c>
    </row>
    <row r="4" spans="1:14" s="30" customFormat="1" ht="27" customHeight="1" x14ac:dyDescent="0.25">
      <c r="A4" s="25" t="s">
        <v>11</v>
      </c>
      <c r="B4" s="25" t="s">
        <v>8</v>
      </c>
      <c r="C4" s="25" t="s">
        <v>14</v>
      </c>
      <c r="D4" s="26">
        <v>23.205713219453443</v>
      </c>
      <c r="E4" s="26">
        <v>1736.9881219370377</v>
      </c>
      <c r="F4" s="26">
        <v>2008.5013517475004</v>
      </c>
      <c r="G4" s="26">
        <v>2015.4873975098692</v>
      </c>
      <c r="H4" s="26">
        <v>1878.4881446122545</v>
      </c>
      <c r="I4" s="26">
        <f>I5/I6*1000</f>
        <v>1720.4261516057334</v>
      </c>
      <c r="J4" s="27">
        <v>1754.6</v>
      </c>
      <c r="K4" s="28">
        <v>1673.3508218102056</v>
      </c>
      <c r="L4" s="29">
        <f>L5/L6*1000</f>
        <v>1800.7843583039673</v>
      </c>
      <c r="M4" s="29">
        <v>1963.9481143272037</v>
      </c>
      <c r="N4" s="32">
        <f>N5/N6*1000</f>
        <v>2042.705930870156</v>
      </c>
    </row>
    <row r="5" spans="1:14" ht="26.25" customHeight="1" x14ac:dyDescent="0.25">
      <c r="A5" s="13" t="s">
        <v>9</v>
      </c>
      <c r="B5" s="13" t="s">
        <v>6</v>
      </c>
      <c r="C5" s="13" t="s">
        <v>12</v>
      </c>
      <c r="D5" s="20">
        <v>136.80000000000001</v>
      </c>
      <c r="E5" s="21">
        <v>10455.799999999999</v>
      </c>
      <c r="F5" s="21">
        <v>12332.6</v>
      </c>
      <c r="G5" s="21">
        <v>12610.3</v>
      </c>
      <c r="H5" s="21">
        <v>12002.6</v>
      </c>
      <c r="I5" s="21">
        <v>11223.2</v>
      </c>
      <c r="J5" s="17">
        <v>11545.7</v>
      </c>
      <c r="K5" s="17">
        <v>11290.6</v>
      </c>
      <c r="L5" s="23">
        <v>12673.2</v>
      </c>
      <c r="M5" s="23">
        <v>14065.6</v>
      </c>
      <c r="N5" s="33">
        <v>13373.8</v>
      </c>
    </row>
    <row r="6" spans="1:14" ht="16.5" customHeight="1" x14ac:dyDescent="0.25">
      <c r="A6" s="14" t="s">
        <v>10</v>
      </c>
      <c r="B6" s="14" t="s">
        <v>7</v>
      </c>
      <c r="C6" s="14" t="s">
        <v>13</v>
      </c>
      <c r="D6" s="21">
        <v>5895.1</v>
      </c>
      <c r="E6" s="21">
        <v>6019.5</v>
      </c>
      <c r="F6" s="21">
        <v>6140.2</v>
      </c>
      <c r="G6" s="21">
        <v>6256.7</v>
      </c>
      <c r="H6" s="21">
        <v>6389.5</v>
      </c>
      <c r="I6" s="21">
        <v>6523.5</v>
      </c>
      <c r="J6" s="18">
        <v>6636.8</v>
      </c>
      <c r="K6" s="18">
        <v>6747.3</v>
      </c>
      <c r="L6" s="22">
        <v>7037.6</v>
      </c>
      <c r="M6" s="22">
        <v>7161.9</v>
      </c>
      <c r="N6" s="33">
        <v>6547.1</v>
      </c>
    </row>
    <row r="7" spans="1:14" ht="24" x14ac:dyDescent="0.25">
      <c r="A7" s="13" t="s">
        <v>15</v>
      </c>
      <c r="B7" s="14" t="s">
        <v>16</v>
      </c>
      <c r="C7" s="14" t="s">
        <v>17</v>
      </c>
      <c r="D7" s="22" t="s">
        <v>21</v>
      </c>
      <c r="E7" s="21">
        <v>46.7</v>
      </c>
      <c r="F7" s="21">
        <v>32.9</v>
      </c>
      <c r="G7" s="21">
        <v>40.200000000000003</v>
      </c>
      <c r="H7" s="21">
        <v>38.9</v>
      </c>
      <c r="I7" s="21">
        <v>53.8</v>
      </c>
      <c r="J7" s="18">
        <v>56.2</v>
      </c>
      <c r="K7" s="18">
        <v>57</v>
      </c>
      <c r="L7" s="22">
        <v>51.3</v>
      </c>
      <c r="M7" s="22">
        <v>46.213456944602434</v>
      </c>
      <c r="N7" s="22">
        <v>52.342897416571645</v>
      </c>
    </row>
    <row r="8" spans="1:14" ht="24.75" thickBot="1" x14ac:dyDescent="0.3">
      <c r="A8" s="15" t="s">
        <v>18</v>
      </c>
      <c r="B8" s="15" t="s">
        <v>19</v>
      </c>
      <c r="C8" s="15" t="s">
        <v>20</v>
      </c>
      <c r="D8" s="24" t="s">
        <v>21</v>
      </c>
      <c r="E8" s="16">
        <v>0.1</v>
      </c>
      <c r="F8" s="16">
        <v>0.1</v>
      </c>
      <c r="G8" s="16">
        <v>0.03</v>
      </c>
      <c r="H8" s="16">
        <v>0.1</v>
      </c>
      <c r="I8" s="16">
        <v>7.0000000000000007E-2</v>
      </c>
      <c r="J8" s="19">
        <v>0</v>
      </c>
      <c r="K8" s="19">
        <v>0.1</v>
      </c>
      <c r="L8" s="19">
        <v>0.1</v>
      </c>
      <c r="M8" s="19">
        <v>4.4790126265498803E-2</v>
      </c>
      <c r="N8" s="19">
        <v>3.4070578056031614E-2</v>
      </c>
    </row>
    <row r="9" spans="1:14" x14ac:dyDescent="0.25">
      <c r="A9" s="2"/>
      <c r="B9" s="2"/>
      <c r="C9" s="2"/>
      <c r="D9" s="2"/>
      <c r="E9" s="2"/>
      <c r="F9" s="2"/>
      <c r="G9" s="2"/>
      <c r="H9" s="2"/>
    </row>
    <row r="10" spans="1:14" x14ac:dyDescent="0.25">
      <c r="A10" s="2"/>
      <c r="B10" s="2"/>
      <c r="C10" s="2"/>
      <c r="D10" s="2"/>
      <c r="E10" s="2"/>
      <c r="F10" s="2"/>
      <c r="G10" s="2"/>
      <c r="H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</row>
    <row r="12" spans="1:14" x14ac:dyDescent="0.25">
      <c r="A12" s="2"/>
      <c r="B12" s="2"/>
      <c r="C12" s="2"/>
      <c r="D12" s="2"/>
      <c r="E12" s="2"/>
      <c r="F12" s="2"/>
      <c r="G12" s="2"/>
      <c r="H12" s="2"/>
    </row>
    <row r="13" spans="1:14" x14ac:dyDescent="0.25">
      <c r="A13" s="2"/>
      <c r="B13" s="2"/>
      <c r="C13" s="2"/>
      <c r="D13" s="2"/>
      <c r="E13" s="2"/>
      <c r="F13" s="2"/>
      <c r="G13" s="2"/>
      <c r="H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2026-02-05T09:11:01Z</dcterms:modified>
</cp:coreProperties>
</file>