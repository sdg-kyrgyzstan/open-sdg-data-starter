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35"/>
  </bookViews>
  <sheets>
    <sheet name="Лист1" sheetId="1" r:id="rId1"/>
  </sheets>
  <externalReferences>
    <externalReference r:id="rId2"/>
    <externalReference r:id="rId3"/>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52511"/>
</workbook>
</file>

<file path=xl/calcChain.xml><?xml version="1.0" encoding="utf-8"?>
<calcChain xmlns="http://schemas.openxmlformats.org/spreadsheetml/2006/main">
  <c r="D33" i="1" l="1"/>
  <c r="D34" i="1"/>
  <c r="D35" i="1"/>
  <c r="D36" i="1"/>
  <c r="D37" i="1"/>
</calcChain>
</file>

<file path=xl/sharedStrings.xml><?xml version="1.0" encoding="utf-8"?>
<sst xmlns="http://schemas.openxmlformats.org/spreadsheetml/2006/main" count="111" uniqueCount="111">
  <si>
    <t>(в процентах)</t>
  </si>
  <si>
    <t>Наименование показателей</t>
  </si>
  <si>
    <t>Всего</t>
  </si>
  <si>
    <t>Местность</t>
  </si>
  <si>
    <t>Город</t>
  </si>
  <si>
    <t>Село</t>
  </si>
  <si>
    <t>Мужской</t>
  </si>
  <si>
    <t>Женский</t>
  </si>
  <si>
    <t>Область</t>
  </si>
  <si>
    <t>Молодёжь, 15-28 лет</t>
  </si>
  <si>
    <t>Взрослое население трудоспособного возраста</t>
  </si>
  <si>
    <t>Начальное и ниже</t>
  </si>
  <si>
    <t>Основное общее</t>
  </si>
  <si>
    <t>Среднее общее</t>
  </si>
  <si>
    <t>Профессиональное среднее, общее</t>
  </si>
  <si>
    <t>Профессиональное высшее</t>
  </si>
  <si>
    <t xml:space="preserve">*Интегрированное выборочное обследование бюджетов домашних хозяйств и рабочей силы </t>
  </si>
  <si>
    <t>8.10.2. Доля взрослых (от 15 лет), имеющих счет в банке или ином финансовом учреждении или пользующихся услугами операторов мобильных финансовых услуг*</t>
  </si>
  <si>
    <t>Квинтиль по доходам</t>
  </si>
  <si>
    <t>Беднейший</t>
  </si>
  <si>
    <t>Второй</t>
  </si>
  <si>
    <t>Средний</t>
  </si>
  <si>
    <t>Четвертый</t>
  </si>
  <si>
    <t>Богатейший</t>
  </si>
  <si>
    <t>8.10.2 Уюлдук байланыш операторлорунун кызматын колдонгон жана  банк же башка финансылык мекемеде эсеби бар адамдардын (15 жаштан өйдө) үлүшү</t>
  </si>
  <si>
    <t>8.10.2 Proportion of adults (15 years and older) with an account at a bank or other financial institution or with a mobile-money-service provider</t>
  </si>
  <si>
    <t>(паыйз менен)</t>
  </si>
  <si>
    <t>(in percent)</t>
  </si>
  <si>
    <t>Бардыгы</t>
  </si>
  <si>
    <t>Total</t>
  </si>
  <si>
    <t>Жерлери</t>
  </si>
  <si>
    <t>шаар</t>
  </si>
  <si>
    <t>айыл</t>
  </si>
  <si>
    <t>Urbanisation</t>
  </si>
  <si>
    <t>urban</t>
  </si>
  <si>
    <t>rural</t>
  </si>
  <si>
    <t>Эркектер</t>
  </si>
  <si>
    <t>Аялдар</t>
  </si>
  <si>
    <t>Men</t>
  </si>
  <si>
    <t>Women</t>
  </si>
  <si>
    <t>Аймак</t>
  </si>
  <si>
    <t>Баткен облусу</t>
  </si>
  <si>
    <t>Баткенская область</t>
  </si>
  <si>
    <t>Batken oblast</t>
  </si>
  <si>
    <t>Жалал-Абад облусу</t>
  </si>
  <si>
    <t>Джалал-Абадская область</t>
  </si>
  <si>
    <t xml:space="preserve">Djalal-Abad oblast  </t>
  </si>
  <si>
    <t>Ысык-Көл облусу</t>
  </si>
  <si>
    <t>Иссык-Кульская область</t>
  </si>
  <si>
    <t xml:space="preserve">Ysyk-Kul oblast </t>
  </si>
  <si>
    <t>Нарын облусу</t>
  </si>
  <si>
    <t>Нарынская область</t>
  </si>
  <si>
    <t>Naryn oblast</t>
  </si>
  <si>
    <t>Ош облусу</t>
  </si>
  <si>
    <t>Ошская область</t>
  </si>
  <si>
    <t>Osh oblast</t>
  </si>
  <si>
    <t>Талас облусу</t>
  </si>
  <si>
    <t>Таласская область</t>
  </si>
  <si>
    <t>Talas oblast</t>
  </si>
  <si>
    <t xml:space="preserve">Чүй облусу </t>
  </si>
  <si>
    <t>Чуйская область</t>
  </si>
  <si>
    <t>Chui oblast</t>
  </si>
  <si>
    <t>Бишкек ш.</t>
  </si>
  <si>
    <t>г. Бишкек</t>
  </si>
  <si>
    <t>Bishkek city</t>
  </si>
  <si>
    <t>Ош ш.</t>
  </si>
  <si>
    <t>г. Ош</t>
  </si>
  <si>
    <t>Osh city</t>
  </si>
  <si>
    <t>15-28 жаштагы жаштар</t>
  </si>
  <si>
    <t>Старше трудоспособного возраста</t>
  </si>
  <si>
    <t>Мектепке чейинки же жок / Башталгыч</t>
  </si>
  <si>
    <t>Негизги жалпы</t>
  </si>
  <si>
    <t>Орто жалпы</t>
  </si>
  <si>
    <t>Кесиптик башталгыч / орто</t>
  </si>
  <si>
    <t>Жогорку</t>
  </si>
  <si>
    <t xml:space="preserve">Жакыр </t>
  </si>
  <si>
    <t xml:space="preserve">Экинчи </t>
  </si>
  <si>
    <t xml:space="preserve">Орто </t>
  </si>
  <si>
    <t xml:space="preserve">Төртүнчү </t>
  </si>
  <si>
    <t>Бай</t>
  </si>
  <si>
    <t>Кирешеси боюнча квинтили</t>
  </si>
  <si>
    <t>Wealth quintile</t>
  </si>
  <si>
    <t>Poorest</t>
  </si>
  <si>
    <t>Second</t>
  </si>
  <si>
    <t>Average</t>
  </si>
  <si>
    <t>Fourth</t>
  </si>
  <si>
    <t>The richest</t>
  </si>
  <si>
    <t>*Үй чарбалардын бюджеттерин жана жумушчу күчтөрдү интеграцияланган тандама текшерүүсү</t>
  </si>
  <si>
    <t>* Integrated sample survey of household budgets and labor.</t>
  </si>
  <si>
    <t>Youth, 15-28 years old</t>
  </si>
  <si>
    <t>Working-age adult population</t>
  </si>
  <si>
    <t>Over working age</t>
  </si>
  <si>
    <t xml:space="preserve">Эмгекке жарактуу жаштагы калктын саны </t>
  </si>
  <si>
    <t>Эмгекке жарактуу жаштан жогорку калктын саны</t>
  </si>
  <si>
    <t>By sex</t>
  </si>
  <si>
    <t>By territory</t>
  </si>
  <si>
    <t>By age</t>
  </si>
  <si>
    <t>By education</t>
  </si>
  <si>
    <t>Initial and below</t>
  </si>
  <si>
    <t>Basic general</t>
  </si>
  <si>
    <t>Average general</t>
  </si>
  <si>
    <t>Vocational secondary, general</t>
  </si>
  <si>
    <t>Professional higher</t>
  </si>
  <si>
    <t>Жынысы боюнча</t>
  </si>
  <si>
    <t>Жаш курагы боюнча</t>
  </si>
  <si>
    <t>Билими боюнча</t>
  </si>
  <si>
    <t>По полу</t>
  </si>
  <si>
    <t>По возрасту</t>
  </si>
  <si>
    <t>По образованию</t>
  </si>
  <si>
    <t>Көрсөткүчтөрдүн аталышы</t>
  </si>
  <si>
    <t>Items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</si>
</sst>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9" x14ac:knownFonts="1">
    <font>
      <sz val="11"/>
      <color theme="1"/>
      <name val="Calibri"/>
      <family val="2"/>
      <scheme val="minor"/>
    </font>
    <font>
      <sz val="9"/>
      <color theme="1"/>
      <name val="Times New Roman"/>
      <family val="1"/>
      <charset val="204"/>
    </font>
    <font>
      <b/>
      <sz val="10"/>
      <color rgb="FF000000"/>
      <name val="Times New Roman"/>
      <family val="1"/>
      <charset val="204"/>
    </font>
    <font>
      <b/>
      <sz val="9"/>
      <color theme="1"/>
      <name val="Times New Roman"/>
      <family val="1"/>
      <charset val="204"/>
    </font>
    <font>
      <sz val="9"/>
      <color rgb="FF000000"/>
      <name val="Times New Roman"/>
      <family val="1"/>
      <charset val="204"/>
    </font>
    <font>
      <b/>
      <i/>
      <sz val="9"/>
      <color theme="1"/>
      <name val="Times New Roman"/>
      <family val="1"/>
      <charset val="204"/>
    </font>
    <font>
      <sz val="9"/>
      <name val="Times New Roman"/>
      <family val="1"/>
      <charset val="204"/>
    </font>
    <font>
      <b/>
      <sz val="9"/>
      <color rgb="FF000000"/>
      <name val="Times New Roman"/>
      <family val="1"/>
      <charset val="204"/>
    </font>
    <font>
      <b/>
      <i/>
      <sz val="9"/>
      <color rgb="FF000000"/>
      <name val="Times New Roman"/>
      <family val="1"/>
      <charset val="204"/>
    </font>
    <font>
      <i/>
      <sz val="8"/>
      <color theme="1"/>
      <name val="Times New Roman"/>
      <family val="1"/>
      <charset val="204"/>
    </font>
    <font>
      <sz val="11"/>
      <color theme="1"/>
      <name val="Calibri"/>
      <family val="2"/>
      <scheme val="minor"/>
    </font>
    <font>
      <sz val="10"/>
      <name val="Arial"/>
      <family val="2"/>
    </font>
    <font>
      <sz val="11"/>
      <color theme="1"/>
      <name val="Calibri"/>
      <family val="2"/>
      <charset val="204"/>
      <scheme val="minor"/>
    </font>
    <font>
      <sz val="10"/>
      <name val="Arial"/>
      <family val="2"/>
      <charset val="204"/>
    </font>
    <font>
      <sz val="8"/>
      <color rgb="FF000000"/>
      <name val="Times New Roman"/>
      <family val="1"/>
      <charset val="204"/>
    </font>
    <font>
      <sz val="9"/>
      <color indexed="8"/>
      <name val="Times New Roman"/>
      <family val="1"/>
      <charset val="204"/>
    </font>
    <font>
      <b/>
      <sz val="10"/>
      <color theme="1"/>
      <name val="Times New Roman"/>
      <family val="1"/>
      <charset val="204"/>
    </font>
    <font>
      <sz val="10"/>
      <color theme="1"/>
      <name val="Times New Roman"/>
      <family val="1"/>
      <charset val="204"/>
    </font>
    <font>
      <sz val="10"/>
      <color indexed="8"/>
      <name val="Times New Roman"/>
      <family val="1"/>
      <charset val="204"/>
    </font>
  </fonts>
  <fills count="2">
    <fill>
      <patternFill patternType="none"/>
    </fill>
    <fill>
      <patternFill patternType="gray125"/>
    </fill>
  </fills>
  <borders count="2">
    <border>
      <left/>
      <right/>
      <top/>
      <bottom/>
      <diagonal/>
    </border>
    <border>
      <left/>
      <right/>
      <top/>
      <bottom style="medium">
        <color indexed="64"/>
      </bottom>
      <diagonal/>
    </border>
  </borders>
  <cellStyleXfs count="5">
    <xf numFmtId="0" fontId="0" fillId="0" borderId="0"/>
    <xf numFmtId="0" fontId="11" fillId="0" borderId="0"/>
    <xf numFmtId="0" fontId="10" fillId="0" borderId="0"/>
    <xf numFmtId="0" fontId="12" fillId="0" borderId="0"/>
    <xf numFmtId="0" fontId="13" fillId="0" borderId="0"/>
  </cellStyleXfs>
  <cellXfs count="31">
    <xf numFmtId="0" fontId="0" fillId="0" borderId="0" xfId="0"/>
    <xf numFmtId="0" fontId="2" fillId="0" borderId="0" xfId="0" applyFont="1" applyAlignment="1">
      <alignment vertical="center" wrapText="1"/>
    </xf>
    <xf numFmtId="0" fontId="1" fillId="0" borderId="0" xfId="0" applyFont="1" applyAlignment="1">
      <alignment vertical="center"/>
    </xf>
    <xf numFmtId="0" fontId="1" fillId="0" borderId="1" xfId="0" applyFont="1" applyBorder="1" applyAlignment="1">
      <alignment vertical="center"/>
    </xf>
    <xf numFmtId="0" fontId="3" fillId="0" borderId="1" xfId="0" applyFont="1" applyBorder="1" applyAlignment="1">
      <alignment horizontal="center" vertical="center"/>
    </xf>
    <xf numFmtId="0" fontId="5" fillId="0" borderId="0" xfId="0" applyFont="1"/>
    <xf numFmtId="0" fontId="6" fillId="0" borderId="1" xfId="0" applyFont="1" applyFill="1" applyBorder="1" applyAlignment="1">
      <alignment horizontal="left" vertical="center"/>
    </xf>
    <xf numFmtId="2" fontId="1" fillId="0" borderId="0" xfId="0" applyNumberFormat="1" applyFont="1" applyAlignment="1">
      <alignment vertical="center"/>
    </xf>
    <xf numFmtId="2" fontId="1" fillId="0" borderId="0" xfId="0" applyNumberFormat="1" applyFont="1" applyAlignment="1">
      <alignment horizontal="right" vertical="center"/>
    </xf>
    <xf numFmtId="2" fontId="1" fillId="0" borderId="0" xfId="0" applyNumberFormat="1" applyFont="1" applyBorder="1"/>
    <xf numFmtId="2" fontId="1" fillId="0" borderId="1" xfId="0" applyNumberFormat="1" applyFont="1" applyBorder="1"/>
    <xf numFmtId="1" fontId="3" fillId="0" borderId="1" xfId="0" applyNumberFormat="1" applyFont="1" applyBorder="1" applyAlignment="1">
      <alignment vertical="center"/>
    </xf>
    <xf numFmtId="2" fontId="3" fillId="0" borderId="0" xfId="0" applyNumberFormat="1" applyFont="1"/>
    <xf numFmtId="2" fontId="1" fillId="0" borderId="0" xfId="0" applyNumberFormat="1" applyFont="1" applyBorder="1" applyAlignment="1">
      <alignment horizontal="right" vertical="center"/>
    </xf>
    <xf numFmtId="0" fontId="7" fillId="0" borderId="0" xfId="0" applyFont="1"/>
    <xf numFmtId="0" fontId="8" fillId="0" borderId="0" xfId="0" applyFont="1"/>
    <xf numFmtId="0" fontId="4" fillId="0" borderId="0" xfId="0" applyFont="1" applyBorder="1" applyAlignment="1">
      <alignment vertical="center" wrapText="1"/>
    </xf>
    <xf numFmtId="0" fontId="9" fillId="0" borderId="0" xfId="0" applyFont="1" applyAlignment="1">
      <alignment horizontal="center" vertical="center"/>
    </xf>
    <xf numFmtId="164" fontId="3" fillId="0" borderId="0" xfId="0" applyNumberFormat="1" applyFont="1"/>
    <xf numFmtId="164" fontId="1" fillId="0" borderId="0" xfId="0" applyNumberFormat="1" applyFont="1" applyAlignment="1">
      <alignment vertical="center"/>
    </xf>
    <xf numFmtId="164" fontId="1" fillId="0" borderId="0" xfId="0" applyNumberFormat="1" applyFont="1" applyBorder="1" applyAlignment="1">
      <alignment horizontal="right" vertical="center"/>
    </xf>
    <xf numFmtId="164" fontId="1" fillId="0" borderId="0" xfId="0" applyNumberFormat="1" applyFont="1" applyAlignment="1">
      <alignment horizontal="right" vertical="center"/>
    </xf>
    <xf numFmtId="164" fontId="1" fillId="0" borderId="0" xfId="0" applyNumberFormat="1" applyFont="1" applyBorder="1"/>
    <xf numFmtId="164" fontId="1" fillId="0" borderId="1" xfId="0" applyNumberFormat="1" applyFont="1" applyBorder="1"/>
    <xf numFmtId="0" fontId="3" fillId="0" borderId="1" xfId="0" applyFont="1" applyBorder="1" applyAlignment="1">
      <alignment vertical="center"/>
    </xf>
    <xf numFmtId="164" fontId="1" fillId="0" borderId="1" xfId="0" applyNumberFormat="1" applyFont="1" applyBorder="1" applyAlignment="1">
      <alignment vertical="center"/>
    </xf>
    <xf numFmtId="164" fontId="15" fillId="0" borderId="0" xfId="4" applyNumberFormat="1" applyFont="1"/>
    <xf numFmtId="0" fontId="14" fillId="0" borderId="0" xfId="0" applyFont="1" applyAlignment="1">
      <alignment vertical="center" wrapText="1"/>
    </xf>
    <xf numFmtId="164" fontId="16" fillId="0" borderId="0" xfId="0" applyNumberFormat="1" applyFont="1"/>
    <xf numFmtId="164" fontId="17" fillId="0" borderId="0" xfId="0" applyNumberFormat="1" applyFont="1" applyAlignment="1">
      <alignment horizontal="right" vertical="center"/>
    </xf>
    <xf numFmtId="164" fontId="18" fillId="0" borderId="0" xfId="4" applyNumberFormat="1" applyFont="1"/>
  </cellXfs>
  <cellStyles count="5">
    <cellStyle name="Normal 17" xfId="1"/>
    <cellStyle name="Обычный" xfId="0" builtinId="0"/>
    <cellStyle name="Обычный 2" xfId="3"/>
    <cellStyle name="Обычный 7" xfId="2"/>
    <cellStyle name="Обычный_ЦУР_интернет,счет,трансп,безоп."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bdulla.Gozalov/Desktop/2018/12%20-%20Bangkok%20-%20Phnom%20Penh/Workshop%20Materials/Exercises/Exercise%207/SDG%20Data%20Entry.Age-Sex-Urbanis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electively_Syrvey\Budget18\YEAR\SDG_Result\&#1058;&#1072;&#1073;&#1083;&#1080;&#1094;&#1099;%20&#1062;&#1059;&#1056;%208.10.2-11.2.1-16.1.4-17.8.1-5.b.1-7.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ЦУР_интернет,счет,трансп,безоп."/>
      <sheetName val="7.1.1.Доступ к электричеству"/>
      <sheetName val="Динамика Доступ к электричеству"/>
    </sheetNames>
    <sheetDataSet>
      <sheetData sheetId="0">
        <row r="29">
          <cell r="G29">
            <v>12.28586899480047</v>
          </cell>
        </row>
        <row r="30">
          <cell r="G30">
            <v>20.108218753144943</v>
          </cell>
        </row>
        <row r="31">
          <cell r="G31">
            <v>23.688371085673879</v>
          </cell>
        </row>
        <row r="32">
          <cell r="G32">
            <v>28.405544890163778</v>
          </cell>
        </row>
        <row r="33">
          <cell r="G33">
            <v>32.674185644974685</v>
          </cell>
        </row>
      </sheetData>
      <sheetData sheetId="1"/>
      <sheetData sheetId="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tabSelected="1" workbookViewId="0">
      <selection activeCell="B28" sqref="B28"/>
    </sheetView>
  </sheetViews>
  <sheetFormatPr defaultRowHeight="12" x14ac:dyDescent="0.25"/>
  <cols>
    <col min="1" max="3" width="44" style="2" customWidth="1"/>
    <col min="4" max="16384" width="9.140625" style="2"/>
  </cols>
  <sheetData>
    <row r="1" spans="1:10" ht="54.75" customHeight="1" x14ac:dyDescent="0.25">
      <c r="A1" s="1" t="s">
        <v>24</v>
      </c>
      <c r="B1" s="1" t="s">
        <v>17</v>
      </c>
      <c r="C1" s="1" t="s">
        <v>25</v>
      </c>
    </row>
    <row r="2" spans="1:10" ht="14.25" customHeight="1" x14ac:dyDescent="0.25">
      <c r="A2" s="17" t="s">
        <v>26</v>
      </c>
      <c r="B2" s="17" t="s">
        <v>0</v>
      </c>
      <c r="C2" s="17" t="s">
        <v>27</v>
      </c>
    </row>
    <row r="3" spans="1:10" ht="14.25" customHeight="1" thickBot="1" x14ac:dyDescent="0.3">
      <c r="A3" s="3"/>
      <c r="B3" s="3"/>
      <c r="C3" s="3"/>
      <c r="D3" s="3"/>
      <c r="E3" s="3"/>
      <c r="F3" s="3"/>
      <c r="G3" s="3"/>
      <c r="H3" s="3"/>
      <c r="I3" s="3"/>
      <c r="J3" s="3"/>
    </row>
    <row r="4" spans="1:10" ht="14.25" customHeight="1" thickBot="1" x14ac:dyDescent="0.3">
      <c r="A4" s="4" t="s">
        <v>109</v>
      </c>
      <c r="B4" s="4" t="s">
        <v>1</v>
      </c>
      <c r="C4" s="4" t="s">
        <v>110</v>
      </c>
      <c r="D4" s="11">
        <v>2018</v>
      </c>
      <c r="E4" s="11">
        <v>2019</v>
      </c>
      <c r="F4" s="11">
        <v>2020</v>
      </c>
      <c r="G4" s="11">
        <v>2021</v>
      </c>
      <c r="H4" s="24">
        <v>2022</v>
      </c>
      <c r="I4" s="24">
        <v>2023</v>
      </c>
      <c r="J4" s="24">
        <v>2024</v>
      </c>
    </row>
    <row r="5" spans="1:10" ht="14.25" customHeight="1" x14ac:dyDescent="0.2">
      <c r="A5" s="14" t="s">
        <v>28</v>
      </c>
      <c r="B5" s="14" t="s">
        <v>2</v>
      </c>
      <c r="C5" s="14" t="s">
        <v>29</v>
      </c>
      <c r="D5" s="12">
        <v>24.4</v>
      </c>
      <c r="E5" s="12">
        <v>32.172358685186744</v>
      </c>
      <c r="F5" s="18">
        <v>35.908367432390172</v>
      </c>
      <c r="G5" s="18">
        <v>36.349477845730696</v>
      </c>
      <c r="H5" s="18">
        <v>39.085887468753405</v>
      </c>
      <c r="I5" s="18">
        <v>45.949580055212706</v>
      </c>
      <c r="J5" s="28">
        <v>58.8</v>
      </c>
    </row>
    <row r="6" spans="1:10" ht="14.25" customHeight="1" x14ac:dyDescent="0.2">
      <c r="A6" s="15" t="s">
        <v>30</v>
      </c>
      <c r="B6" s="15" t="s">
        <v>3</v>
      </c>
      <c r="C6" s="15" t="s">
        <v>33</v>
      </c>
      <c r="D6" s="7"/>
      <c r="E6" s="7"/>
      <c r="F6" s="19"/>
      <c r="G6" s="19"/>
      <c r="H6" s="19"/>
      <c r="I6" s="19"/>
      <c r="J6" s="19"/>
    </row>
    <row r="7" spans="1:10" ht="14.25" customHeight="1" x14ac:dyDescent="0.25">
      <c r="A7" s="16" t="s">
        <v>31</v>
      </c>
      <c r="B7" s="16" t="s">
        <v>4</v>
      </c>
      <c r="C7" s="16" t="s">
        <v>34</v>
      </c>
      <c r="D7" s="13">
        <v>28.1</v>
      </c>
      <c r="E7" s="13">
        <v>36.79711906049684</v>
      </c>
      <c r="F7" s="20">
        <v>38.037471336879918</v>
      </c>
      <c r="G7" s="20">
        <v>40.24257514844215</v>
      </c>
      <c r="H7" s="21">
        <v>44.724599429278875</v>
      </c>
      <c r="I7" s="21">
        <v>50.315128678474018</v>
      </c>
      <c r="J7" s="29">
        <v>62.1</v>
      </c>
    </row>
    <row r="8" spans="1:10" ht="14.25" customHeight="1" x14ac:dyDescent="0.25">
      <c r="A8" s="16" t="s">
        <v>32</v>
      </c>
      <c r="B8" s="16" t="s">
        <v>5</v>
      </c>
      <c r="C8" s="16" t="s">
        <v>35</v>
      </c>
      <c r="D8" s="13">
        <v>22.2</v>
      </c>
      <c r="E8" s="13">
        <v>29.421488728670735</v>
      </c>
      <c r="F8" s="20">
        <v>34.606561282937008</v>
      </c>
      <c r="G8" s="20">
        <v>33.921336844109675</v>
      </c>
      <c r="H8" s="21">
        <v>35.518984047032511</v>
      </c>
      <c r="I8" s="21">
        <v>43.219999170895854</v>
      </c>
      <c r="J8" s="29">
        <v>56</v>
      </c>
    </row>
    <row r="9" spans="1:10" ht="14.25" customHeight="1" x14ac:dyDescent="0.2">
      <c r="A9" s="15" t="s">
        <v>103</v>
      </c>
      <c r="B9" s="15" t="s">
        <v>106</v>
      </c>
      <c r="C9" s="15" t="s">
        <v>94</v>
      </c>
      <c r="D9" s="7"/>
      <c r="E9" s="7"/>
      <c r="F9" s="19"/>
      <c r="G9" s="19"/>
      <c r="H9" s="19"/>
      <c r="I9" s="19"/>
      <c r="J9" s="19"/>
    </row>
    <row r="10" spans="1:10" ht="14.25" customHeight="1" x14ac:dyDescent="0.25">
      <c r="A10" s="16" t="s">
        <v>36</v>
      </c>
      <c r="B10" s="16" t="s">
        <v>6</v>
      </c>
      <c r="C10" s="16" t="s">
        <v>38</v>
      </c>
      <c r="D10" s="13">
        <v>23.4</v>
      </c>
      <c r="E10" s="13">
        <v>30.211973610676601</v>
      </c>
      <c r="F10" s="20">
        <v>33.229388395505211</v>
      </c>
      <c r="G10" s="20">
        <v>33.726935029287773</v>
      </c>
      <c r="H10" s="21">
        <v>36.217648533807413</v>
      </c>
      <c r="I10" s="21">
        <v>44.415417641633219</v>
      </c>
      <c r="J10" s="29">
        <v>58</v>
      </c>
    </row>
    <row r="11" spans="1:10" ht="14.25" customHeight="1" x14ac:dyDescent="0.25">
      <c r="A11" s="16" t="s">
        <v>37</v>
      </c>
      <c r="B11" s="16" t="s">
        <v>7</v>
      </c>
      <c r="C11" s="16" t="s">
        <v>39</v>
      </c>
      <c r="D11" s="13">
        <v>25.2</v>
      </c>
      <c r="E11" s="13">
        <v>33.807907890915992</v>
      </c>
      <c r="F11" s="20">
        <v>38.177301011395421</v>
      </c>
      <c r="G11" s="20">
        <v>38.549213750749423</v>
      </c>
      <c r="H11" s="21">
        <v>41.476188409498668</v>
      </c>
      <c r="I11" s="21">
        <v>47.251391232382026</v>
      </c>
      <c r="J11" s="29">
        <v>59.5</v>
      </c>
    </row>
    <row r="12" spans="1:10" ht="14.25" customHeight="1" x14ac:dyDescent="0.2">
      <c r="A12" s="15" t="s">
        <v>40</v>
      </c>
      <c r="B12" s="15" t="s">
        <v>8</v>
      </c>
      <c r="C12" s="15" t="s">
        <v>95</v>
      </c>
      <c r="D12" s="7"/>
      <c r="E12" s="7"/>
      <c r="F12" s="20"/>
      <c r="G12" s="20"/>
      <c r="H12" s="19"/>
      <c r="I12" s="19"/>
      <c r="J12" s="19"/>
    </row>
    <row r="13" spans="1:10" ht="14.25" customHeight="1" x14ac:dyDescent="0.25">
      <c r="A13" s="16" t="s">
        <v>41</v>
      </c>
      <c r="B13" s="16" t="s">
        <v>42</v>
      </c>
      <c r="C13" s="16" t="s">
        <v>43</v>
      </c>
      <c r="D13" s="13">
        <v>11.9</v>
      </c>
      <c r="E13" s="13">
        <v>20.274736118054363</v>
      </c>
      <c r="F13" s="20">
        <v>26.775957440605431</v>
      </c>
      <c r="G13" s="20">
        <v>30.726355037053551</v>
      </c>
      <c r="H13" s="21">
        <v>32.430345873140155</v>
      </c>
      <c r="I13" s="21">
        <v>41.667810195049299</v>
      </c>
      <c r="J13" s="29">
        <v>52.7</v>
      </c>
    </row>
    <row r="14" spans="1:10" ht="14.25" customHeight="1" x14ac:dyDescent="0.25">
      <c r="A14" s="16" t="s">
        <v>44</v>
      </c>
      <c r="B14" s="16" t="s">
        <v>45</v>
      </c>
      <c r="C14" s="16" t="s">
        <v>46</v>
      </c>
      <c r="D14" s="13">
        <v>13.1</v>
      </c>
      <c r="E14" s="13">
        <v>26.361287264420636</v>
      </c>
      <c r="F14" s="20">
        <v>26.539366314899116</v>
      </c>
      <c r="G14" s="20">
        <v>24.114348024597405</v>
      </c>
      <c r="H14" s="21">
        <v>30.944931541233412</v>
      </c>
      <c r="I14" s="21">
        <v>41.486441621675908</v>
      </c>
      <c r="J14" s="29">
        <v>48.4</v>
      </c>
    </row>
    <row r="15" spans="1:10" ht="14.25" customHeight="1" x14ac:dyDescent="0.25">
      <c r="A15" s="16" t="s">
        <v>47</v>
      </c>
      <c r="B15" s="16" t="s">
        <v>48</v>
      </c>
      <c r="C15" s="16" t="s">
        <v>49</v>
      </c>
      <c r="D15" s="13">
        <v>8.8000000000000007</v>
      </c>
      <c r="E15" s="13">
        <v>9.9730738786285968</v>
      </c>
      <c r="F15" s="20">
        <v>27.245676841206855</v>
      </c>
      <c r="G15" s="20">
        <v>32.264319710486305</v>
      </c>
      <c r="H15" s="21">
        <v>38.701563892088878</v>
      </c>
      <c r="I15" s="21">
        <v>52.909628957776725</v>
      </c>
      <c r="J15" s="29">
        <v>64.5</v>
      </c>
    </row>
    <row r="16" spans="1:10" ht="14.25" customHeight="1" x14ac:dyDescent="0.25">
      <c r="A16" s="16" t="s">
        <v>50</v>
      </c>
      <c r="B16" s="16" t="s">
        <v>51</v>
      </c>
      <c r="C16" s="16" t="s">
        <v>52</v>
      </c>
      <c r="D16" s="13">
        <v>35.299999999999997</v>
      </c>
      <c r="E16" s="13">
        <v>43.200633690782439</v>
      </c>
      <c r="F16" s="20">
        <v>40.824543038051686</v>
      </c>
      <c r="G16" s="20">
        <v>55.72775023394189</v>
      </c>
      <c r="H16" s="21">
        <v>58.238266620244111</v>
      </c>
      <c r="I16" s="21">
        <v>62.574019909498347</v>
      </c>
      <c r="J16" s="29">
        <v>68</v>
      </c>
    </row>
    <row r="17" spans="1:10" ht="14.25" customHeight="1" x14ac:dyDescent="0.25">
      <c r="A17" s="16" t="s">
        <v>53</v>
      </c>
      <c r="B17" s="16" t="s">
        <v>54</v>
      </c>
      <c r="C17" s="16" t="s">
        <v>55</v>
      </c>
      <c r="D17" s="13">
        <v>30.7</v>
      </c>
      <c r="E17" s="13">
        <v>37.460736598863278</v>
      </c>
      <c r="F17" s="20">
        <v>43.889457566749421</v>
      </c>
      <c r="G17" s="20">
        <v>42.653948422610604</v>
      </c>
      <c r="H17" s="21">
        <v>43.927782365866996</v>
      </c>
      <c r="I17" s="21">
        <v>50.089746706331191</v>
      </c>
      <c r="J17" s="29">
        <v>69.3</v>
      </c>
    </row>
    <row r="18" spans="1:10" ht="14.25" customHeight="1" x14ac:dyDescent="0.25">
      <c r="A18" s="16" t="s">
        <v>56</v>
      </c>
      <c r="B18" s="16" t="s">
        <v>57</v>
      </c>
      <c r="C18" s="16" t="s">
        <v>58</v>
      </c>
      <c r="D18" s="13">
        <v>18.399999999999999</v>
      </c>
      <c r="E18" s="13">
        <v>32.044373123720973</v>
      </c>
      <c r="F18" s="20">
        <v>33.277755977391323</v>
      </c>
      <c r="G18" s="20">
        <v>32.640370268550591</v>
      </c>
      <c r="H18" s="21">
        <v>40.137596093601282</v>
      </c>
      <c r="I18" s="21">
        <v>44.864451548602972</v>
      </c>
      <c r="J18" s="29">
        <v>58.8</v>
      </c>
    </row>
    <row r="19" spans="1:10" ht="14.25" customHeight="1" x14ac:dyDescent="0.25">
      <c r="A19" s="16" t="s">
        <v>59</v>
      </c>
      <c r="B19" s="16" t="s">
        <v>60</v>
      </c>
      <c r="C19" s="16" t="s">
        <v>61</v>
      </c>
      <c r="D19" s="13">
        <v>35.9</v>
      </c>
      <c r="E19" s="13">
        <v>41.21346354854434</v>
      </c>
      <c r="F19" s="20">
        <v>43.885817661904994</v>
      </c>
      <c r="G19" s="20">
        <v>38.11437546852995</v>
      </c>
      <c r="H19" s="21">
        <v>32.977038227698955</v>
      </c>
      <c r="I19" s="21">
        <v>35.967162950905177</v>
      </c>
      <c r="J19" s="29">
        <v>45</v>
      </c>
    </row>
    <row r="20" spans="1:10" ht="14.25" customHeight="1" x14ac:dyDescent="0.25">
      <c r="A20" s="16" t="s">
        <v>62</v>
      </c>
      <c r="B20" s="16" t="s">
        <v>63</v>
      </c>
      <c r="C20" s="16" t="s">
        <v>64</v>
      </c>
      <c r="D20" s="13">
        <v>30.8</v>
      </c>
      <c r="E20" s="13">
        <v>34.961164011412258</v>
      </c>
      <c r="F20" s="20">
        <v>38.853902927830582</v>
      </c>
      <c r="G20" s="20">
        <v>42.722516786024322</v>
      </c>
      <c r="H20" s="21">
        <v>44.695765304295406</v>
      </c>
      <c r="I20" s="21">
        <v>47.2422482593567</v>
      </c>
      <c r="J20" s="29">
        <v>62.2</v>
      </c>
    </row>
    <row r="21" spans="1:10" ht="14.25" customHeight="1" x14ac:dyDescent="0.25">
      <c r="A21" s="16" t="s">
        <v>65</v>
      </c>
      <c r="B21" s="16" t="s">
        <v>66</v>
      </c>
      <c r="C21" s="16" t="s">
        <v>67</v>
      </c>
      <c r="D21" s="13">
        <v>23.3</v>
      </c>
      <c r="E21" s="13">
        <v>40.128113657196543</v>
      </c>
      <c r="F21" s="20">
        <v>31.952316608549769</v>
      </c>
      <c r="G21" s="20">
        <v>33.536910409231567</v>
      </c>
      <c r="H21" s="21">
        <v>44.154400809825894</v>
      </c>
      <c r="I21" s="21">
        <v>57.053084433540945</v>
      </c>
      <c r="J21" s="29">
        <v>73.5</v>
      </c>
    </row>
    <row r="22" spans="1:10" ht="14.25" customHeight="1" x14ac:dyDescent="0.2">
      <c r="A22" s="15" t="s">
        <v>104</v>
      </c>
      <c r="B22" s="15" t="s">
        <v>107</v>
      </c>
      <c r="C22" s="15" t="s">
        <v>96</v>
      </c>
      <c r="D22" s="7"/>
      <c r="E22" s="7"/>
      <c r="F22" s="19"/>
      <c r="G22" s="19"/>
      <c r="H22" s="19"/>
      <c r="I22" s="19"/>
      <c r="J22" s="19"/>
    </row>
    <row r="23" spans="1:10" ht="14.25" customHeight="1" x14ac:dyDescent="0.25">
      <c r="A23" s="16" t="s">
        <v>68</v>
      </c>
      <c r="B23" s="16" t="s">
        <v>9</v>
      </c>
      <c r="C23" s="16" t="s">
        <v>89</v>
      </c>
      <c r="D23" s="13">
        <v>12.7</v>
      </c>
      <c r="E23" s="13">
        <v>16.408319566373308</v>
      </c>
      <c r="F23" s="20">
        <v>18.496813928180543</v>
      </c>
      <c r="G23" s="20">
        <v>16.180533854020734</v>
      </c>
      <c r="H23" s="21">
        <v>17.375254934967078</v>
      </c>
      <c r="I23" s="21">
        <v>23.872922810126894</v>
      </c>
      <c r="J23" s="29">
        <v>32.799999999999997</v>
      </c>
    </row>
    <row r="24" spans="1:10" ht="14.25" customHeight="1" x14ac:dyDescent="0.25">
      <c r="A24" s="16" t="s">
        <v>92</v>
      </c>
      <c r="B24" s="16" t="s">
        <v>10</v>
      </c>
      <c r="C24" s="16" t="s">
        <v>90</v>
      </c>
      <c r="D24" s="13">
        <v>26.3</v>
      </c>
      <c r="E24" s="13">
        <v>33.477733177366297</v>
      </c>
      <c r="F24" s="20">
        <v>37.033088177002874</v>
      </c>
      <c r="G24" s="20">
        <v>37.684304521197163</v>
      </c>
      <c r="H24" s="21">
        <v>40.007538461760142</v>
      </c>
      <c r="I24" s="21">
        <v>48.27741695137928</v>
      </c>
      <c r="J24" s="29">
        <v>63.2</v>
      </c>
    </row>
    <row r="25" spans="1:10" ht="14.25" customHeight="1" x14ac:dyDescent="0.25">
      <c r="A25" s="16" t="s">
        <v>93</v>
      </c>
      <c r="B25" s="16" t="s">
        <v>69</v>
      </c>
      <c r="C25" s="16" t="s">
        <v>91</v>
      </c>
      <c r="D25" s="13">
        <v>39.5</v>
      </c>
      <c r="E25" s="13">
        <v>55.192243744535141</v>
      </c>
      <c r="F25" s="20">
        <v>59.619519274425237</v>
      </c>
      <c r="G25" s="20">
        <v>63.542408521816817</v>
      </c>
      <c r="H25" s="21">
        <v>67.680040965166455</v>
      </c>
      <c r="I25" s="21">
        <v>69.7146568327408</v>
      </c>
      <c r="J25" s="29">
        <v>80.400000000000006</v>
      </c>
    </row>
    <row r="26" spans="1:10" ht="14.25" customHeight="1" x14ac:dyDescent="0.2">
      <c r="A26" s="15" t="s">
        <v>105</v>
      </c>
      <c r="B26" s="15" t="s">
        <v>108</v>
      </c>
      <c r="C26" s="15" t="s">
        <v>97</v>
      </c>
      <c r="D26" s="7"/>
      <c r="E26" s="7"/>
      <c r="F26" s="19"/>
      <c r="G26" s="19"/>
      <c r="H26" s="19"/>
      <c r="I26" s="19"/>
      <c r="J26" s="19"/>
    </row>
    <row r="27" spans="1:10" ht="14.25" customHeight="1" x14ac:dyDescent="0.25">
      <c r="A27" s="16" t="s">
        <v>70</v>
      </c>
      <c r="B27" s="16" t="s">
        <v>11</v>
      </c>
      <c r="C27" s="16" t="s">
        <v>98</v>
      </c>
      <c r="D27" s="13">
        <v>17</v>
      </c>
      <c r="E27" s="13">
        <v>25.253959375234832</v>
      </c>
      <c r="F27" s="20">
        <v>24.636899175670234</v>
      </c>
      <c r="G27" s="20">
        <v>19.57846532512054</v>
      </c>
      <c r="H27" s="21">
        <v>23.074574656053066</v>
      </c>
      <c r="I27" s="21">
        <v>21.77710692964105</v>
      </c>
      <c r="J27" s="29">
        <v>27</v>
      </c>
    </row>
    <row r="28" spans="1:10" ht="14.25" customHeight="1" x14ac:dyDescent="0.25">
      <c r="A28" s="16" t="s">
        <v>71</v>
      </c>
      <c r="B28" s="16" t="s">
        <v>12</v>
      </c>
      <c r="C28" s="16" t="s">
        <v>99</v>
      </c>
      <c r="D28" s="13">
        <v>10.8</v>
      </c>
      <c r="E28" s="13">
        <v>15.506281254828457</v>
      </c>
      <c r="F28" s="20">
        <v>18.134313129213993</v>
      </c>
      <c r="G28" s="20">
        <v>17.192246662674318</v>
      </c>
      <c r="H28" s="21">
        <v>18.330539129612006</v>
      </c>
      <c r="I28" s="21">
        <v>24.756440351891371</v>
      </c>
      <c r="J28" s="29">
        <v>30.5</v>
      </c>
    </row>
    <row r="29" spans="1:10" ht="14.25" customHeight="1" x14ac:dyDescent="0.25">
      <c r="A29" s="16" t="s">
        <v>72</v>
      </c>
      <c r="B29" s="16" t="s">
        <v>13</v>
      </c>
      <c r="C29" s="16" t="s">
        <v>100</v>
      </c>
      <c r="D29" s="13">
        <v>18.2</v>
      </c>
      <c r="E29" s="13">
        <v>25.60731048820081</v>
      </c>
      <c r="F29" s="20">
        <v>29.738080926096469</v>
      </c>
      <c r="G29" s="20">
        <v>29.859967645408769</v>
      </c>
      <c r="H29" s="21">
        <v>33.251388568920724</v>
      </c>
      <c r="I29" s="21">
        <v>41.781082603975655</v>
      </c>
      <c r="J29" s="29">
        <v>57.2</v>
      </c>
    </row>
    <row r="30" spans="1:10" ht="14.25" customHeight="1" x14ac:dyDescent="0.25">
      <c r="A30" s="16" t="s">
        <v>73</v>
      </c>
      <c r="B30" s="16" t="s">
        <v>14</v>
      </c>
      <c r="C30" s="16" t="s">
        <v>101</v>
      </c>
      <c r="D30" s="13">
        <v>32.1</v>
      </c>
      <c r="E30" s="13">
        <v>39.576314116351028</v>
      </c>
      <c r="F30" s="20">
        <v>44.647996803123462</v>
      </c>
      <c r="G30" s="20">
        <v>45.738415886705035</v>
      </c>
      <c r="H30" s="21">
        <v>48.411721058959479</v>
      </c>
      <c r="I30" s="21">
        <v>55.952587531016164</v>
      </c>
      <c r="J30" s="29">
        <v>69.099999999999994</v>
      </c>
    </row>
    <row r="31" spans="1:10" ht="14.25" customHeight="1" x14ac:dyDescent="0.25">
      <c r="A31" s="16" t="s">
        <v>74</v>
      </c>
      <c r="B31" s="16" t="s">
        <v>15</v>
      </c>
      <c r="C31" s="16" t="s">
        <v>102</v>
      </c>
      <c r="D31" s="13">
        <v>44.1</v>
      </c>
      <c r="E31" s="13">
        <v>54.556962383083601</v>
      </c>
      <c r="F31" s="20">
        <v>57.646115925877957</v>
      </c>
      <c r="G31" s="20">
        <v>60.938270685411759</v>
      </c>
      <c r="H31" s="21">
        <v>62.326070295136923</v>
      </c>
      <c r="I31" s="21">
        <v>65.760347501612472</v>
      </c>
      <c r="J31" s="29">
        <v>77.3</v>
      </c>
    </row>
    <row r="32" spans="1:10" customFormat="1" ht="14.25" customHeight="1" x14ac:dyDescent="0.25">
      <c r="A32" s="5" t="s">
        <v>80</v>
      </c>
      <c r="B32" s="5" t="s">
        <v>18</v>
      </c>
      <c r="C32" s="5" t="s">
        <v>81</v>
      </c>
      <c r="D32" s="8"/>
      <c r="E32" s="8"/>
      <c r="F32" s="21"/>
      <c r="G32" s="21"/>
      <c r="H32" s="26"/>
      <c r="I32" s="26"/>
      <c r="J32" s="30"/>
    </row>
    <row r="33" spans="1:10" customFormat="1" ht="14.25" customHeight="1" x14ac:dyDescent="0.25">
      <c r="A33" s="16" t="s">
        <v>75</v>
      </c>
      <c r="B33" s="16" t="s">
        <v>19</v>
      </c>
      <c r="C33" s="16" t="s">
        <v>82</v>
      </c>
      <c r="D33" s="9">
        <f>'[2]ЦУР_интернет,счет,трансп,безоп.'!G29</f>
        <v>12.28586899480047</v>
      </c>
      <c r="E33" s="9">
        <v>19.928328804527261</v>
      </c>
      <c r="F33" s="22">
        <v>23.264547350491039</v>
      </c>
      <c r="G33" s="22">
        <v>24.833636346420704</v>
      </c>
      <c r="H33" s="26">
        <v>28.434754548564293</v>
      </c>
      <c r="I33" s="26">
        <v>36.943115111698582</v>
      </c>
      <c r="J33" s="30">
        <v>48.5</v>
      </c>
    </row>
    <row r="34" spans="1:10" customFormat="1" ht="14.25" customHeight="1" x14ac:dyDescent="0.25">
      <c r="A34" s="16" t="s">
        <v>76</v>
      </c>
      <c r="B34" s="16" t="s">
        <v>20</v>
      </c>
      <c r="C34" s="16" t="s">
        <v>83</v>
      </c>
      <c r="D34" s="9">
        <f>'[2]ЦУР_интернет,счет,трансп,безоп.'!G30</f>
        <v>20.108218753144943</v>
      </c>
      <c r="E34" s="9">
        <v>29.541730495824083</v>
      </c>
      <c r="F34" s="22">
        <v>35.464543119212848</v>
      </c>
      <c r="G34" s="22">
        <v>34.313233407898444</v>
      </c>
      <c r="H34" s="26">
        <v>36.417518133414838</v>
      </c>
      <c r="I34" s="26">
        <v>43.758492476090815</v>
      </c>
      <c r="J34" s="30">
        <v>55.8</v>
      </c>
    </row>
    <row r="35" spans="1:10" customFormat="1" ht="14.25" customHeight="1" x14ac:dyDescent="0.25">
      <c r="A35" s="16" t="s">
        <v>77</v>
      </c>
      <c r="B35" s="16" t="s">
        <v>21</v>
      </c>
      <c r="C35" s="16" t="s">
        <v>84</v>
      </c>
      <c r="D35" s="9">
        <f>'[2]ЦУР_интернет,счет,трансп,безоп.'!G31</f>
        <v>23.688371085673879</v>
      </c>
      <c r="E35" s="9">
        <v>31.242776068249537</v>
      </c>
      <c r="F35" s="22">
        <v>39.252696413189447</v>
      </c>
      <c r="G35" s="22">
        <v>38.165513651147549</v>
      </c>
      <c r="H35" s="26">
        <v>40.969804674762322</v>
      </c>
      <c r="I35" s="26">
        <v>45.502117000636005</v>
      </c>
      <c r="J35" s="30">
        <v>57.7</v>
      </c>
    </row>
    <row r="36" spans="1:10" customFormat="1" ht="14.25" customHeight="1" x14ac:dyDescent="0.25">
      <c r="A36" s="16" t="s">
        <v>78</v>
      </c>
      <c r="B36" s="16" t="s">
        <v>22</v>
      </c>
      <c r="C36" s="16" t="s">
        <v>85</v>
      </c>
      <c r="D36" s="9">
        <f>'[2]ЦУР_интернет,счет,трансп,безоп.'!G32</f>
        <v>28.405544890163778</v>
      </c>
      <c r="E36" s="9">
        <v>36.901645917041535</v>
      </c>
      <c r="F36" s="22">
        <v>39.606035508230384</v>
      </c>
      <c r="G36" s="22">
        <v>41.587399018763371</v>
      </c>
      <c r="H36" s="26">
        <v>42.296454850254953</v>
      </c>
      <c r="I36" s="26">
        <v>47.36993563223902</v>
      </c>
      <c r="J36" s="30">
        <v>62.3</v>
      </c>
    </row>
    <row r="37" spans="1:10" customFormat="1" ht="14.25" customHeight="1" thickBot="1" x14ac:dyDescent="0.3">
      <c r="A37" s="6" t="s">
        <v>79</v>
      </c>
      <c r="B37" s="6" t="s">
        <v>23</v>
      </c>
      <c r="C37" s="6" t="s">
        <v>86</v>
      </c>
      <c r="D37" s="10">
        <f>'[2]ЦУР_интернет,счет,трансп,безоп.'!G33</f>
        <v>32.674185644974685</v>
      </c>
      <c r="E37" s="10">
        <v>38.816775959727927</v>
      </c>
      <c r="F37" s="23">
        <v>46.669807444397421</v>
      </c>
      <c r="G37" s="23">
        <v>46.108627653646344</v>
      </c>
      <c r="H37" s="25">
        <v>51.345982110084748</v>
      </c>
      <c r="I37" s="25">
        <v>52.665872825774791</v>
      </c>
      <c r="J37" s="25">
        <v>65.3</v>
      </c>
    </row>
    <row r="38" spans="1:10" ht="30" customHeight="1" x14ac:dyDescent="0.25">
      <c r="A38" s="27" t="s">
        <v>87</v>
      </c>
      <c r="B38" s="27" t="s">
        <v>16</v>
      </c>
      <c r="C38" s="27" t="s">
        <v>88</v>
      </c>
    </row>
  </sheetData>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2026-02-05T08:40:30Z</dcterms:modified>
</cp:coreProperties>
</file>